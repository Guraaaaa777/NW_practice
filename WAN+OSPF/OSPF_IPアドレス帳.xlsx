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jit\home\git\NW_practice_network\WAN+OSPF\"/>
    </mc:Choice>
  </mc:AlternateContent>
  <xr:revisionPtr revIDLastSave="0" documentId="13_ncr:1_{70B0CD24-0993-4189-8BA1-4E9A5FDC82FD}" xr6:coauthVersionLast="47" xr6:coauthVersionMax="47" xr10:uidLastSave="{00000000-0000-0000-0000-000000000000}"/>
  <bookViews>
    <workbookView xWindow="11424" yWindow="0" windowWidth="11712" windowHeight="12336" activeTab="1" xr2:uid="{266A30AD-4DE5-4E52-BC76-5F3B07F243C8}"/>
  </bookViews>
  <sheets>
    <sheet name="IPアドレス帳" sheetId="1" r:id="rId1"/>
    <sheet name="設定用テンプレート" sheetId="2" r:id="rId2"/>
  </sheets>
  <definedNames>
    <definedName name="_xlnm._FilterDatabase" localSheetId="0" hidden="1">IPアドレス帳!$A$1:$D$16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2" l="1"/>
  <c r="A8" i="2"/>
  <c r="A15" i="2"/>
  <c r="A12" i="2"/>
  <c r="A14" i="2"/>
  <c r="A13" i="2"/>
  <c r="A31" i="2"/>
  <c r="A27" i="2"/>
  <c r="A23" i="2"/>
  <c r="A22" i="2"/>
  <c r="A9" i="2"/>
  <c r="A20" i="2"/>
  <c r="A5" i="2"/>
  <c r="A4" i="2"/>
</calcChain>
</file>

<file path=xl/sharedStrings.xml><?xml version="1.0" encoding="utf-8"?>
<sst xmlns="http://schemas.openxmlformats.org/spreadsheetml/2006/main" count="362" uniqueCount="160">
  <si>
    <t>機器</t>
    <rPh sb="0" eb="2">
      <t>キキ</t>
    </rPh>
    <phoneticPr fontId="1"/>
  </si>
  <si>
    <t>インターフェイス</t>
    <phoneticPr fontId="1"/>
  </si>
  <si>
    <t>IPアドレス</t>
    <phoneticPr fontId="1"/>
  </si>
  <si>
    <t>サブネットマスク</t>
    <phoneticPr fontId="1"/>
  </si>
  <si>
    <t xml:space="preserve">GigabitEthernet0/0/0 </t>
    <phoneticPr fontId="1"/>
  </si>
  <si>
    <t>255.255.255.192</t>
    <phoneticPr fontId="1"/>
  </si>
  <si>
    <t>GigabitEthernet0/0</t>
    <phoneticPr fontId="1"/>
  </si>
  <si>
    <t>172.17.0.1</t>
    <phoneticPr fontId="1"/>
  </si>
  <si>
    <t>255.255.255.128</t>
    <phoneticPr fontId="1"/>
  </si>
  <si>
    <t>WAN</t>
    <phoneticPr fontId="1"/>
  </si>
  <si>
    <t>GigabitEthernet1/1/1</t>
    <phoneticPr fontId="1"/>
  </si>
  <si>
    <t>VLAN2</t>
    <phoneticPr fontId="1"/>
  </si>
  <si>
    <t>172.17.0.2</t>
    <phoneticPr fontId="1"/>
  </si>
  <si>
    <t>L2SW7</t>
    <phoneticPr fontId="1"/>
  </si>
  <si>
    <t>172.16.12.65</t>
    <phoneticPr fontId="1"/>
  </si>
  <si>
    <t>172.16.12.66</t>
    <phoneticPr fontId="1"/>
  </si>
  <si>
    <t>GigabitEthernet0/1</t>
    <phoneticPr fontId="1"/>
  </si>
  <si>
    <t>FastEthernet0/1</t>
    <phoneticPr fontId="1"/>
  </si>
  <si>
    <t>FastEthernet0/2</t>
    <phoneticPr fontId="1"/>
  </si>
  <si>
    <t>L3SW4</t>
    <phoneticPr fontId="1"/>
  </si>
  <si>
    <t>172.17.0.3</t>
    <phoneticPr fontId="1"/>
  </si>
  <si>
    <t>172.17.0.4</t>
    <phoneticPr fontId="1"/>
  </si>
  <si>
    <t>GigabitEhternet0/0</t>
    <phoneticPr fontId="1"/>
  </si>
  <si>
    <t>L3SW5</t>
    <phoneticPr fontId="1"/>
  </si>
  <si>
    <t>FastEthernet0/0/1</t>
    <phoneticPr fontId="1"/>
  </si>
  <si>
    <t>FastEthernet0/0/0</t>
    <phoneticPr fontId="1"/>
  </si>
  <si>
    <t>VLAN3</t>
    <phoneticPr fontId="1"/>
  </si>
  <si>
    <t>172.17.2.0/23</t>
    <phoneticPr fontId="1"/>
  </si>
  <si>
    <t>VLAN4</t>
    <phoneticPr fontId="1"/>
  </si>
  <si>
    <t>172.17.4.0/23</t>
    <phoneticPr fontId="1"/>
  </si>
  <si>
    <t>L2SW8</t>
    <phoneticPr fontId="1"/>
  </si>
  <si>
    <t>255.255.254.0</t>
    <phoneticPr fontId="1"/>
  </si>
  <si>
    <t>L2SW9</t>
    <phoneticPr fontId="1"/>
  </si>
  <si>
    <t>172.17.3.2</t>
    <phoneticPr fontId="1"/>
  </si>
  <si>
    <t>FastEthernet0/1-8</t>
    <phoneticPr fontId="1"/>
  </si>
  <si>
    <t>FastEthenet0/1-8</t>
    <phoneticPr fontId="1"/>
  </si>
  <si>
    <t>VLAN6</t>
    <phoneticPr fontId="1"/>
  </si>
  <si>
    <t>172.17.6.1</t>
    <phoneticPr fontId="1"/>
  </si>
  <si>
    <t>VLAN8</t>
    <phoneticPr fontId="1"/>
  </si>
  <si>
    <t>172.17.8.1</t>
    <phoneticPr fontId="1"/>
  </si>
  <si>
    <t>L2SW10</t>
    <phoneticPr fontId="1"/>
  </si>
  <si>
    <t>L2SW11</t>
    <phoneticPr fontId="1"/>
  </si>
  <si>
    <t>172.17.6.2</t>
    <phoneticPr fontId="1"/>
  </si>
  <si>
    <t>172.17.8.2</t>
    <phoneticPr fontId="1"/>
  </si>
  <si>
    <t>第3オクテット</t>
    <rPh sb="0" eb="1">
      <t>ダイ</t>
    </rPh>
    <phoneticPr fontId="1"/>
  </si>
  <si>
    <t>ex</t>
    <phoneticPr fontId="1"/>
  </si>
  <si>
    <t>no shutdown</t>
    <phoneticPr fontId="1"/>
  </si>
  <si>
    <t>L2SW</t>
    <phoneticPr fontId="1"/>
  </si>
  <si>
    <t>L3LANポート</t>
    <phoneticPr fontId="1"/>
  </si>
  <si>
    <t>end</t>
    <phoneticPr fontId="1"/>
  </si>
  <si>
    <t>write mem</t>
    <phoneticPr fontId="1"/>
  </si>
  <si>
    <t>int giga 0/1</t>
    <phoneticPr fontId="1"/>
  </si>
  <si>
    <t>int range fast 0/1-8</t>
    <phoneticPr fontId="1"/>
  </si>
  <si>
    <t>NWアドレス第2オクテット</t>
    <rPh sb="6" eb="7">
      <t>ダイ</t>
    </rPh>
    <phoneticPr fontId="1"/>
  </si>
  <si>
    <t>dhcp禁止アドレス最小</t>
    <rPh sb="4" eb="6">
      <t>キンシ</t>
    </rPh>
    <rPh sb="10" eb="12">
      <t>サイショウ</t>
    </rPh>
    <phoneticPr fontId="1"/>
  </si>
  <si>
    <t>最大</t>
    <rPh sb="0" eb="2">
      <t>サイダイ</t>
    </rPh>
    <phoneticPr fontId="1"/>
  </si>
  <si>
    <t>L3SW1</t>
    <phoneticPr fontId="1"/>
  </si>
  <si>
    <t xml:space="preserve">GigabitEthernet0/0/0 </t>
    <phoneticPr fontId="1"/>
  </si>
  <si>
    <t>172.16.12.67</t>
    <phoneticPr fontId="1"/>
  </si>
  <si>
    <t>255.255.255.128</t>
    <phoneticPr fontId="1"/>
  </si>
  <si>
    <t>FastEthener0/1/0</t>
    <phoneticPr fontId="1"/>
  </si>
  <si>
    <t>FastEthener0/1/1</t>
    <phoneticPr fontId="1"/>
  </si>
  <si>
    <t>VLAN10</t>
    <phoneticPr fontId="1"/>
  </si>
  <si>
    <t>VLAN2</t>
    <phoneticPr fontId="1"/>
  </si>
  <si>
    <t>172.16.0.1</t>
    <phoneticPr fontId="1"/>
  </si>
  <si>
    <t>255.255.254.0</t>
    <phoneticPr fontId="1"/>
  </si>
  <si>
    <t>L2SW1</t>
    <phoneticPr fontId="1"/>
  </si>
  <si>
    <t>L2SW1</t>
    <phoneticPr fontId="1"/>
  </si>
  <si>
    <t>172.16.0.2</t>
    <phoneticPr fontId="1"/>
  </si>
  <si>
    <t>VLAN10</t>
    <phoneticPr fontId="1"/>
  </si>
  <si>
    <t>L2SW2</t>
    <phoneticPr fontId="1"/>
  </si>
  <si>
    <t>L2SW2</t>
    <phoneticPr fontId="1"/>
  </si>
  <si>
    <t>172.16.2.2</t>
    <phoneticPr fontId="1"/>
  </si>
  <si>
    <t>L3SW2</t>
    <phoneticPr fontId="1"/>
  </si>
  <si>
    <t>172.16.12.68</t>
    <phoneticPr fontId="1"/>
  </si>
  <si>
    <t>VLAN4</t>
    <phoneticPr fontId="1"/>
  </si>
  <si>
    <t>VLAN6</t>
    <phoneticPr fontId="1"/>
  </si>
  <si>
    <t>172.16.4.1</t>
    <phoneticPr fontId="1"/>
  </si>
  <si>
    <t>172.16.6.1</t>
    <phoneticPr fontId="1"/>
  </si>
  <si>
    <t>L2SW3</t>
    <phoneticPr fontId="1"/>
  </si>
  <si>
    <t>172.17.4.2</t>
    <phoneticPr fontId="1"/>
  </si>
  <si>
    <t>L2SW4</t>
    <phoneticPr fontId="1"/>
  </si>
  <si>
    <t>L3SW3</t>
    <phoneticPr fontId="1"/>
  </si>
  <si>
    <t>VLAN8</t>
    <phoneticPr fontId="1"/>
  </si>
  <si>
    <t>172.16.8.1</t>
    <phoneticPr fontId="1"/>
  </si>
  <si>
    <t>172.16.10.1</t>
    <phoneticPr fontId="1"/>
  </si>
  <si>
    <t>L2SW4</t>
    <phoneticPr fontId="1"/>
  </si>
  <si>
    <t>GigabitEthernet0/2</t>
    <phoneticPr fontId="1"/>
  </si>
  <si>
    <t>VLAN2</t>
    <phoneticPr fontId="1"/>
  </si>
  <si>
    <t>FW</t>
    <phoneticPr fontId="1"/>
  </si>
  <si>
    <t>GigabiEthernet0/1</t>
    <phoneticPr fontId="1"/>
  </si>
  <si>
    <t>172.17.0.5</t>
    <phoneticPr fontId="1"/>
  </si>
  <si>
    <t>GigabitEthernet1/3</t>
    <phoneticPr fontId="1"/>
  </si>
  <si>
    <t>11.0.0.5</t>
    <phoneticPr fontId="1"/>
  </si>
  <si>
    <t>Internet</t>
    <phoneticPr fontId="1"/>
  </si>
  <si>
    <t>GigabitEthernet0/0</t>
    <phoneticPr fontId="1"/>
  </si>
  <si>
    <t>11.0.0.1</t>
    <phoneticPr fontId="1"/>
  </si>
  <si>
    <t>12.0.0.2</t>
    <phoneticPr fontId="1"/>
  </si>
  <si>
    <t>GigabitEhternet0/0/0</t>
    <phoneticPr fontId="1"/>
  </si>
  <si>
    <t>VPCGW</t>
    <phoneticPr fontId="1"/>
  </si>
  <si>
    <t>12.0.0.1</t>
    <phoneticPr fontId="1"/>
  </si>
  <si>
    <t>192.168.1.1</t>
    <phoneticPr fontId="1"/>
  </si>
  <si>
    <t>255.255.255.0</t>
    <phoneticPr fontId="1"/>
  </si>
  <si>
    <t>255.255.255.248</t>
    <phoneticPr fontId="1"/>
  </si>
  <si>
    <t>255.255.255.248</t>
    <phoneticPr fontId="1"/>
  </si>
  <si>
    <t>VirtualServer</t>
    <phoneticPr fontId="1"/>
  </si>
  <si>
    <t>FastEthernet0</t>
    <phoneticPr fontId="1"/>
  </si>
  <si>
    <t>192.168.1.2</t>
    <phoneticPr fontId="1"/>
  </si>
  <si>
    <t>L2SW7</t>
    <phoneticPr fontId="1"/>
  </si>
  <si>
    <t>GigabitEthernet0/2</t>
    <phoneticPr fontId="1"/>
  </si>
  <si>
    <t>VLAN2</t>
    <phoneticPr fontId="1"/>
  </si>
  <si>
    <t>L3SW</t>
    <phoneticPr fontId="1"/>
  </si>
  <si>
    <t>L3SW1</t>
    <phoneticPr fontId="1"/>
  </si>
  <si>
    <t>GigabitEthernet0/0</t>
    <phoneticPr fontId="1"/>
  </si>
  <si>
    <t>255.255.255.252</t>
    <phoneticPr fontId="1"/>
  </si>
  <si>
    <t>L3SW6</t>
    <phoneticPr fontId="1"/>
  </si>
  <si>
    <t>GigabitEthernet0/1</t>
    <phoneticPr fontId="1"/>
  </si>
  <si>
    <t>172.18.0.1</t>
    <phoneticPr fontId="1"/>
  </si>
  <si>
    <t>L2SE12</t>
    <phoneticPr fontId="1"/>
  </si>
  <si>
    <t>VLAN18</t>
    <phoneticPr fontId="1"/>
  </si>
  <si>
    <t>L2SW12</t>
    <phoneticPr fontId="1"/>
  </si>
  <si>
    <t>GigabitEthernet0/2</t>
    <phoneticPr fontId="1"/>
  </si>
  <si>
    <t>L3SW7</t>
    <phoneticPr fontId="1"/>
  </si>
  <si>
    <t>172.18.8.2</t>
    <phoneticPr fontId="1"/>
  </si>
  <si>
    <t>255.255.255.128</t>
    <phoneticPr fontId="1"/>
  </si>
  <si>
    <t>172.18.8.3</t>
    <phoneticPr fontId="1"/>
  </si>
  <si>
    <t>172.18.8.1</t>
    <phoneticPr fontId="1"/>
  </si>
  <si>
    <t>VLAN8</t>
    <phoneticPr fontId="1"/>
  </si>
  <si>
    <t>VLAN2</t>
    <phoneticPr fontId="1"/>
  </si>
  <si>
    <t>VLAN1000</t>
    <phoneticPr fontId="1"/>
  </si>
  <si>
    <t>255.255.254.0</t>
    <phoneticPr fontId="1"/>
  </si>
  <si>
    <t>172.18.2.1</t>
    <phoneticPr fontId="1"/>
  </si>
  <si>
    <t>FastEthernet0/0/0</t>
    <phoneticPr fontId="1"/>
  </si>
  <si>
    <t>FastEthernet0/0/1</t>
    <phoneticPr fontId="1"/>
  </si>
  <si>
    <t>L2SW13</t>
    <phoneticPr fontId="1"/>
  </si>
  <si>
    <t>VLAN2</t>
    <phoneticPr fontId="1"/>
  </si>
  <si>
    <t>VLAN1000</t>
    <phoneticPr fontId="1"/>
  </si>
  <si>
    <t>172.18.0.2</t>
    <phoneticPr fontId="1"/>
  </si>
  <si>
    <t>255.255.254.0</t>
    <phoneticPr fontId="1"/>
  </si>
  <si>
    <t>172.18.2.2</t>
    <phoneticPr fontId="1"/>
  </si>
  <si>
    <t>FastEthernet0/1-8</t>
    <phoneticPr fontId="1"/>
  </si>
  <si>
    <t>L2SW14</t>
    <phoneticPr fontId="1"/>
  </si>
  <si>
    <t xml:space="preserve">GigabitEthernet0/1 </t>
    <phoneticPr fontId="1"/>
  </si>
  <si>
    <t>GigabitEthernet0/1</t>
    <phoneticPr fontId="1"/>
  </si>
  <si>
    <t>L3SW7</t>
    <phoneticPr fontId="1"/>
  </si>
  <si>
    <t>VLAN4</t>
    <phoneticPr fontId="1"/>
  </si>
  <si>
    <t>VLAN6</t>
    <phoneticPr fontId="1"/>
  </si>
  <si>
    <t>172.18.4.1</t>
    <phoneticPr fontId="1"/>
  </si>
  <si>
    <t>172.18.6.1</t>
    <phoneticPr fontId="1"/>
  </si>
  <si>
    <t>FastEthernet0/0/0</t>
    <phoneticPr fontId="1"/>
  </si>
  <si>
    <t>FastEthernet0/0/1</t>
    <phoneticPr fontId="1"/>
  </si>
  <si>
    <t>L2SW15</t>
    <phoneticPr fontId="1"/>
  </si>
  <si>
    <t>172.18.4.2</t>
    <phoneticPr fontId="1"/>
  </si>
  <si>
    <t>L2SW16</t>
    <phoneticPr fontId="1"/>
  </si>
  <si>
    <t>172.18.6.2</t>
    <phoneticPr fontId="1"/>
  </si>
  <si>
    <t>FastEthernet0/1-7</t>
    <phoneticPr fontId="1"/>
  </si>
  <si>
    <t>↑GigabitEthernet0/[C2]/[C3]</t>
    <phoneticPr fontId="1"/>
  </si>
  <si>
    <t>Edge Router</t>
    <phoneticPr fontId="1"/>
  </si>
  <si>
    <t>172.18.10.1</t>
    <phoneticPr fontId="1"/>
  </si>
  <si>
    <t>172.18.10.2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</si>
</sst>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2" borderId="2" xfId="0" applyFill="1" applyBorder="1">
      <alignment vertical="center"/>
    </xf>
    <xf numFmtId="0" fontId="0" fillId="2" borderId="5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4FED-FDB1-4631-A36C-A9E535A17C91}">
  <dimension ref="A1:D97"/>
  <sheetViews>
    <sheetView topLeftCell="A103" workbookViewId="0">
      <selection activeCell="C71" sqref="C71"/>
    </sheetView>
  </sheetViews>
  <sheetFormatPr defaultRowHeight="18" x14ac:dyDescent="0.45"/>
  <cols>
    <col min="1" max="1" width="10.69921875" customWidth="1"/>
    <col min="2" max="2" width="18.69921875" customWidth="1"/>
    <col min="3" max="4" width="15.69921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89</v>
      </c>
      <c r="B2" t="s">
        <v>90</v>
      </c>
      <c r="C2" t="s">
        <v>91</v>
      </c>
      <c r="D2" t="s">
        <v>8</v>
      </c>
    </row>
    <row r="3" spans="1:4" x14ac:dyDescent="0.45">
      <c r="A3" t="s">
        <v>89</v>
      </c>
      <c r="B3" t="s">
        <v>92</v>
      </c>
      <c r="C3" t="s">
        <v>93</v>
      </c>
      <c r="D3" t="s">
        <v>104</v>
      </c>
    </row>
    <row r="4" spans="1:4" x14ac:dyDescent="0.45">
      <c r="A4" t="s">
        <v>94</v>
      </c>
      <c r="B4" t="s">
        <v>95</v>
      </c>
      <c r="C4" t="s">
        <v>96</v>
      </c>
      <c r="D4" t="s">
        <v>103</v>
      </c>
    </row>
    <row r="5" spans="1:4" x14ac:dyDescent="0.45">
      <c r="A5" t="s">
        <v>94</v>
      </c>
      <c r="B5" t="s">
        <v>98</v>
      </c>
      <c r="C5" t="s">
        <v>97</v>
      </c>
      <c r="D5" t="s">
        <v>103</v>
      </c>
    </row>
    <row r="6" spans="1:4" x14ac:dyDescent="0.45">
      <c r="A6" t="s">
        <v>66</v>
      </c>
      <c r="B6" t="s">
        <v>62</v>
      </c>
      <c r="C6" t="s">
        <v>68</v>
      </c>
      <c r="D6" t="s">
        <v>65</v>
      </c>
    </row>
    <row r="7" spans="1:4" x14ac:dyDescent="0.45">
      <c r="A7" t="s">
        <v>67</v>
      </c>
      <c r="B7" t="s">
        <v>35</v>
      </c>
      <c r="C7" t="s">
        <v>69</v>
      </c>
    </row>
    <row r="8" spans="1:4" x14ac:dyDescent="0.45">
      <c r="A8" t="s">
        <v>67</v>
      </c>
      <c r="B8" t="s">
        <v>16</v>
      </c>
      <c r="C8" t="s">
        <v>69</v>
      </c>
    </row>
    <row r="9" spans="1:4" x14ac:dyDescent="0.45">
      <c r="A9" t="s">
        <v>40</v>
      </c>
      <c r="B9" t="s">
        <v>36</v>
      </c>
      <c r="C9" t="s">
        <v>42</v>
      </c>
      <c r="D9" t="s">
        <v>31</v>
      </c>
    </row>
    <row r="10" spans="1:4" x14ac:dyDescent="0.45">
      <c r="A10" t="s">
        <v>40</v>
      </c>
      <c r="B10" t="s">
        <v>35</v>
      </c>
      <c r="C10" t="s">
        <v>36</v>
      </c>
    </row>
    <row r="11" spans="1:4" x14ac:dyDescent="0.45">
      <c r="A11" t="s">
        <v>40</v>
      </c>
      <c r="B11" t="s">
        <v>16</v>
      </c>
      <c r="C11" t="s">
        <v>36</v>
      </c>
    </row>
    <row r="12" spans="1:4" x14ac:dyDescent="0.45">
      <c r="A12" t="s">
        <v>41</v>
      </c>
      <c r="B12" t="s">
        <v>38</v>
      </c>
      <c r="C12" t="s">
        <v>43</v>
      </c>
      <c r="D12" t="s">
        <v>31</v>
      </c>
    </row>
    <row r="13" spans="1:4" x14ac:dyDescent="0.45">
      <c r="A13" t="s">
        <v>41</v>
      </c>
      <c r="B13" t="s">
        <v>35</v>
      </c>
      <c r="C13" t="s">
        <v>38</v>
      </c>
    </row>
    <row r="14" spans="1:4" x14ac:dyDescent="0.45">
      <c r="A14" t="s">
        <v>41</v>
      </c>
      <c r="B14" t="s">
        <v>16</v>
      </c>
      <c r="C14" t="s">
        <v>38</v>
      </c>
    </row>
    <row r="15" spans="1:4" x14ac:dyDescent="0.45">
      <c r="A15" t="s">
        <v>70</v>
      </c>
      <c r="B15" t="s">
        <v>63</v>
      </c>
      <c r="C15" t="s">
        <v>72</v>
      </c>
      <c r="D15" t="s">
        <v>65</v>
      </c>
    </row>
    <row r="16" spans="1:4" x14ac:dyDescent="0.45">
      <c r="A16" t="s">
        <v>71</v>
      </c>
      <c r="B16" t="s">
        <v>35</v>
      </c>
      <c r="C16" t="s">
        <v>11</v>
      </c>
    </row>
    <row r="17" spans="1:4" x14ac:dyDescent="0.45">
      <c r="A17" t="s">
        <v>71</v>
      </c>
      <c r="B17" t="s">
        <v>16</v>
      </c>
      <c r="C17" t="s">
        <v>11</v>
      </c>
    </row>
    <row r="18" spans="1:4" x14ac:dyDescent="0.45">
      <c r="A18" t="s">
        <v>79</v>
      </c>
      <c r="B18" t="s">
        <v>28</v>
      </c>
      <c r="C18" t="s">
        <v>80</v>
      </c>
      <c r="D18" t="s">
        <v>31</v>
      </c>
    </row>
    <row r="19" spans="1:4" x14ac:dyDescent="0.45">
      <c r="A19" t="s">
        <v>79</v>
      </c>
      <c r="B19" t="s">
        <v>35</v>
      </c>
      <c r="C19" t="s">
        <v>28</v>
      </c>
    </row>
    <row r="20" spans="1:4" x14ac:dyDescent="0.45">
      <c r="A20" t="s">
        <v>79</v>
      </c>
      <c r="B20" t="s">
        <v>16</v>
      </c>
      <c r="C20" t="s">
        <v>28</v>
      </c>
    </row>
    <row r="21" spans="1:4" x14ac:dyDescent="0.45">
      <c r="A21" t="s">
        <v>81</v>
      </c>
      <c r="B21" t="s">
        <v>36</v>
      </c>
      <c r="C21" t="s">
        <v>42</v>
      </c>
      <c r="D21" t="s">
        <v>31</v>
      </c>
    </row>
    <row r="22" spans="1:4" x14ac:dyDescent="0.45">
      <c r="A22" t="s">
        <v>81</v>
      </c>
      <c r="B22" t="s">
        <v>35</v>
      </c>
      <c r="C22" t="s">
        <v>36</v>
      </c>
    </row>
    <row r="23" spans="1:4" x14ac:dyDescent="0.45">
      <c r="A23" t="s">
        <v>81</v>
      </c>
      <c r="B23" t="s">
        <v>16</v>
      </c>
      <c r="C23" t="s">
        <v>36</v>
      </c>
    </row>
    <row r="24" spans="1:4" x14ac:dyDescent="0.45">
      <c r="A24" t="s">
        <v>81</v>
      </c>
      <c r="B24" t="s">
        <v>28</v>
      </c>
      <c r="C24" t="s">
        <v>80</v>
      </c>
      <c r="D24" t="s">
        <v>31</v>
      </c>
    </row>
    <row r="25" spans="1:4" x14ac:dyDescent="0.45">
      <c r="A25" t="s">
        <v>81</v>
      </c>
      <c r="B25" t="s">
        <v>35</v>
      </c>
      <c r="C25" t="s">
        <v>28</v>
      </c>
    </row>
    <row r="26" spans="1:4" x14ac:dyDescent="0.45">
      <c r="A26" t="s">
        <v>81</v>
      </c>
      <c r="B26" t="s">
        <v>16</v>
      </c>
      <c r="C26" t="s">
        <v>28</v>
      </c>
    </row>
    <row r="27" spans="1:4" x14ac:dyDescent="0.45">
      <c r="A27" t="s">
        <v>86</v>
      </c>
      <c r="B27" t="s">
        <v>87</v>
      </c>
      <c r="C27" t="s">
        <v>88</v>
      </c>
    </row>
    <row r="28" spans="1:4" x14ac:dyDescent="0.45">
      <c r="A28" t="s">
        <v>13</v>
      </c>
      <c r="B28" t="s">
        <v>11</v>
      </c>
      <c r="C28" t="s">
        <v>12</v>
      </c>
      <c r="D28" t="s">
        <v>8</v>
      </c>
    </row>
    <row r="29" spans="1:4" x14ac:dyDescent="0.45">
      <c r="A29" t="s">
        <v>13</v>
      </c>
      <c r="B29" t="s">
        <v>16</v>
      </c>
      <c r="C29" t="s">
        <v>11</v>
      </c>
    </row>
    <row r="30" spans="1:4" x14ac:dyDescent="0.45">
      <c r="A30" t="s">
        <v>13</v>
      </c>
      <c r="B30" t="s">
        <v>17</v>
      </c>
      <c r="C30" t="s">
        <v>11</v>
      </c>
    </row>
    <row r="31" spans="1:4" x14ac:dyDescent="0.45">
      <c r="A31" t="s">
        <v>13</v>
      </c>
      <c r="B31" t="s">
        <v>18</v>
      </c>
      <c r="C31" t="s">
        <v>11</v>
      </c>
    </row>
    <row r="32" spans="1:4" x14ac:dyDescent="0.45">
      <c r="A32" t="s">
        <v>13</v>
      </c>
      <c r="B32" t="s">
        <v>24</v>
      </c>
      <c r="C32" t="s">
        <v>26</v>
      </c>
    </row>
    <row r="33" spans="1:4" x14ac:dyDescent="0.45">
      <c r="A33" t="s">
        <v>108</v>
      </c>
      <c r="B33" t="s">
        <v>109</v>
      </c>
      <c r="C33" t="s">
        <v>110</v>
      </c>
    </row>
    <row r="34" spans="1:4" x14ac:dyDescent="0.45">
      <c r="A34" t="s">
        <v>30</v>
      </c>
      <c r="B34" t="s">
        <v>16</v>
      </c>
      <c r="C34" t="s">
        <v>11</v>
      </c>
    </row>
    <row r="35" spans="1:4" x14ac:dyDescent="0.45">
      <c r="A35" t="s">
        <v>30</v>
      </c>
      <c r="B35" t="s">
        <v>11</v>
      </c>
      <c r="C35" t="s">
        <v>33</v>
      </c>
      <c r="D35" t="s">
        <v>31</v>
      </c>
    </row>
    <row r="36" spans="1:4" x14ac:dyDescent="0.45">
      <c r="A36" t="s">
        <v>30</v>
      </c>
      <c r="B36" t="s">
        <v>34</v>
      </c>
      <c r="C36" t="s">
        <v>11</v>
      </c>
    </row>
    <row r="37" spans="1:4" x14ac:dyDescent="0.45">
      <c r="A37" t="s">
        <v>32</v>
      </c>
      <c r="B37" t="s">
        <v>26</v>
      </c>
      <c r="C37" t="s">
        <v>33</v>
      </c>
      <c r="D37" t="s">
        <v>31</v>
      </c>
    </row>
    <row r="38" spans="1:4" x14ac:dyDescent="0.45">
      <c r="A38" t="s">
        <v>32</v>
      </c>
      <c r="B38" t="s">
        <v>16</v>
      </c>
      <c r="C38" t="s">
        <v>26</v>
      </c>
      <c r="D38" t="s">
        <v>31</v>
      </c>
    </row>
    <row r="39" spans="1:4" x14ac:dyDescent="0.45">
      <c r="A39" t="s">
        <v>32</v>
      </c>
      <c r="B39" t="s">
        <v>35</v>
      </c>
      <c r="C39" t="s">
        <v>26</v>
      </c>
    </row>
    <row r="40" spans="1:4" x14ac:dyDescent="0.45">
      <c r="A40" t="s">
        <v>56</v>
      </c>
      <c r="B40" t="s">
        <v>57</v>
      </c>
      <c r="C40" t="s">
        <v>58</v>
      </c>
      <c r="D40" t="s">
        <v>59</v>
      </c>
    </row>
    <row r="41" spans="1:4" x14ac:dyDescent="0.45">
      <c r="A41" t="s">
        <v>56</v>
      </c>
      <c r="B41" t="s">
        <v>60</v>
      </c>
      <c r="C41" t="s">
        <v>62</v>
      </c>
    </row>
    <row r="42" spans="1:4" x14ac:dyDescent="0.45">
      <c r="A42" t="s">
        <v>56</v>
      </c>
      <c r="B42" t="s">
        <v>61</v>
      </c>
      <c r="C42" t="s">
        <v>63</v>
      </c>
    </row>
    <row r="43" spans="1:4" x14ac:dyDescent="0.45">
      <c r="A43" t="s">
        <v>56</v>
      </c>
      <c r="B43" t="s">
        <v>62</v>
      </c>
      <c r="C43" t="s">
        <v>64</v>
      </c>
      <c r="D43" t="s">
        <v>65</v>
      </c>
    </row>
    <row r="44" spans="1:4" x14ac:dyDescent="0.45">
      <c r="A44" t="s">
        <v>73</v>
      </c>
      <c r="B44" t="s">
        <v>57</v>
      </c>
      <c r="C44" t="s">
        <v>74</v>
      </c>
      <c r="D44" t="s">
        <v>59</v>
      </c>
    </row>
    <row r="45" spans="1:4" x14ac:dyDescent="0.45">
      <c r="A45" t="s">
        <v>73</v>
      </c>
      <c r="B45" t="s">
        <v>60</v>
      </c>
      <c r="C45" t="s">
        <v>75</v>
      </c>
    </row>
    <row r="46" spans="1:4" x14ac:dyDescent="0.45">
      <c r="A46" t="s">
        <v>73</v>
      </c>
      <c r="B46" t="s">
        <v>61</v>
      </c>
      <c r="C46" t="s">
        <v>76</v>
      </c>
    </row>
    <row r="47" spans="1:4" x14ac:dyDescent="0.45">
      <c r="A47" t="s">
        <v>73</v>
      </c>
      <c r="B47" t="s">
        <v>75</v>
      </c>
      <c r="C47" t="s">
        <v>77</v>
      </c>
      <c r="D47" t="s">
        <v>65</v>
      </c>
    </row>
    <row r="48" spans="1:4" x14ac:dyDescent="0.45">
      <c r="A48" t="s">
        <v>73</v>
      </c>
      <c r="B48" t="s">
        <v>76</v>
      </c>
      <c r="C48" t="s">
        <v>78</v>
      </c>
      <c r="D48" t="s">
        <v>65</v>
      </c>
    </row>
    <row r="49" spans="1:4" x14ac:dyDescent="0.45">
      <c r="A49" t="s">
        <v>82</v>
      </c>
      <c r="B49" t="s">
        <v>57</v>
      </c>
      <c r="C49" t="s">
        <v>74</v>
      </c>
      <c r="D49" t="s">
        <v>59</v>
      </c>
    </row>
    <row r="50" spans="1:4" x14ac:dyDescent="0.45">
      <c r="A50" t="s">
        <v>82</v>
      </c>
      <c r="B50" t="s">
        <v>60</v>
      </c>
      <c r="C50" t="s">
        <v>83</v>
      </c>
    </row>
    <row r="51" spans="1:4" x14ac:dyDescent="0.45">
      <c r="A51" t="s">
        <v>82</v>
      </c>
      <c r="B51" t="s">
        <v>61</v>
      </c>
      <c r="C51" t="s">
        <v>62</v>
      </c>
    </row>
    <row r="52" spans="1:4" x14ac:dyDescent="0.45">
      <c r="A52" t="s">
        <v>82</v>
      </c>
      <c r="B52" t="s">
        <v>83</v>
      </c>
      <c r="C52" t="s">
        <v>84</v>
      </c>
      <c r="D52" t="s">
        <v>65</v>
      </c>
    </row>
    <row r="53" spans="1:4" x14ac:dyDescent="0.45">
      <c r="A53" t="s">
        <v>82</v>
      </c>
      <c r="B53" t="s">
        <v>62</v>
      </c>
      <c r="C53" t="s">
        <v>85</v>
      </c>
      <c r="D53" t="s">
        <v>65</v>
      </c>
    </row>
    <row r="54" spans="1:4" x14ac:dyDescent="0.45">
      <c r="A54" t="s">
        <v>19</v>
      </c>
      <c r="B54" t="s">
        <v>6</v>
      </c>
      <c r="C54" t="s">
        <v>20</v>
      </c>
      <c r="D54" t="s">
        <v>8</v>
      </c>
    </row>
    <row r="55" spans="1:4" x14ac:dyDescent="0.45">
      <c r="A55" t="s">
        <v>19</v>
      </c>
      <c r="B55" t="s">
        <v>25</v>
      </c>
      <c r="C55" t="s">
        <v>11</v>
      </c>
    </row>
    <row r="56" spans="1:4" x14ac:dyDescent="0.45">
      <c r="A56" t="s">
        <v>19</v>
      </c>
      <c r="B56" t="s">
        <v>11</v>
      </c>
      <c r="C56" t="s">
        <v>27</v>
      </c>
    </row>
    <row r="57" spans="1:4" x14ac:dyDescent="0.45">
      <c r="A57" t="s">
        <v>19</v>
      </c>
      <c r="B57" t="s">
        <v>28</v>
      </c>
      <c r="C57" t="s">
        <v>29</v>
      </c>
    </row>
    <row r="58" spans="1:4" x14ac:dyDescent="0.45">
      <c r="A58" t="s">
        <v>19</v>
      </c>
      <c r="B58" t="s">
        <v>24</v>
      </c>
      <c r="C58" t="s">
        <v>28</v>
      </c>
    </row>
    <row r="59" spans="1:4" x14ac:dyDescent="0.45">
      <c r="A59" t="s">
        <v>23</v>
      </c>
      <c r="B59" t="s">
        <v>22</v>
      </c>
      <c r="C59" t="s">
        <v>21</v>
      </c>
      <c r="D59" t="s">
        <v>8</v>
      </c>
    </row>
    <row r="60" spans="1:4" x14ac:dyDescent="0.45">
      <c r="A60" t="s">
        <v>23</v>
      </c>
      <c r="B60" t="s">
        <v>36</v>
      </c>
      <c r="C60" t="s">
        <v>37</v>
      </c>
      <c r="D60" t="s">
        <v>31</v>
      </c>
    </row>
    <row r="61" spans="1:4" x14ac:dyDescent="0.45">
      <c r="A61" t="s">
        <v>23</v>
      </c>
      <c r="B61" t="s">
        <v>38</v>
      </c>
      <c r="C61" t="s">
        <v>39</v>
      </c>
      <c r="D61" t="s">
        <v>31</v>
      </c>
    </row>
    <row r="62" spans="1:4" x14ac:dyDescent="0.45">
      <c r="A62" t="s">
        <v>23</v>
      </c>
      <c r="B62" t="s">
        <v>25</v>
      </c>
      <c r="C62" t="s">
        <v>36</v>
      </c>
    </row>
    <row r="63" spans="1:4" x14ac:dyDescent="0.45">
      <c r="A63" t="s">
        <v>23</v>
      </c>
      <c r="B63" t="s">
        <v>24</v>
      </c>
      <c r="C63" t="s">
        <v>38</v>
      </c>
    </row>
    <row r="64" spans="1:4" x14ac:dyDescent="0.45">
      <c r="A64" t="s">
        <v>157</v>
      </c>
      <c r="B64" t="s">
        <v>4</v>
      </c>
      <c r="C64" t="s">
        <v>14</v>
      </c>
      <c r="D64" t="s">
        <v>5</v>
      </c>
    </row>
    <row r="65" spans="1:4" x14ac:dyDescent="0.45">
      <c r="A65" t="s">
        <v>157</v>
      </c>
      <c r="B65" t="s">
        <v>6</v>
      </c>
      <c r="C65" t="s">
        <v>7</v>
      </c>
      <c r="D65" t="s">
        <v>8</v>
      </c>
    </row>
    <row r="66" spans="1:4" x14ac:dyDescent="0.45">
      <c r="A66" t="s">
        <v>105</v>
      </c>
      <c r="B66" t="s">
        <v>106</v>
      </c>
      <c r="C66" t="s">
        <v>107</v>
      </c>
      <c r="D66" t="s">
        <v>102</v>
      </c>
    </row>
    <row r="67" spans="1:4" x14ac:dyDescent="0.45">
      <c r="A67" t="s">
        <v>99</v>
      </c>
      <c r="B67" t="s">
        <v>4</v>
      </c>
      <c r="C67" t="s">
        <v>100</v>
      </c>
      <c r="D67" t="s">
        <v>103</v>
      </c>
    </row>
    <row r="68" spans="1:4" x14ac:dyDescent="0.45">
      <c r="A68" t="s">
        <v>99</v>
      </c>
      <c r="B68" t="s">
        <v>95</v>
      </c>
      <c r="C68" t="s">
        <v>101</v>
      </c>
      <c r="D68" t="s">
        <v>102</v>
      </c>
    </row>
    <row r="69" spans="1:4" x14ac:dyDescent="0.45">
      <c r="A69" t="s">
        <v>9</v>
      </c>
      <c r="B69" t="s">
        <v>10</v>
      </c>
      <c r="C69" t="s">
        <v>11</v>
      </c>
    </row>
    <row r="70" spans="1:4" x14ac:dyDescent="0.45">
      <c r="A70" t="s">
        <v>9</v>
      </c>
      <c r="B70" t="s">
        <v>11</v>
      </c>
      <c r="C70" t="s">
        <v>15</v>
      </c>
      <c r="D70" t="s">
        <v>8</v>
      </c>
    </row>
    <row r="71" spans="1:4" x14ac:dyDescent="0.45">
      <c r="A71" t="s">
        <v>112</v>
      </c>
      <c r="B71" t="s">
        <v>113</v>
      </c>
      <c r="C71" t="s">
        <v>159</v>
      </c>
      <c r="D71" t="s">
        <v>114</v>
      </c>
    </row>
    <row r="72" spans="1:4" x14ac:dyDescent="0.45">
      <c r="A72" t="s">
        <v>115</v>
      </c>
      <c r="B72" t="s">
        <v>113</v>
      </c>
      <c r="C72" t="s">
        <v>158</v>
      </c>
      <c r="D72" t="s">
        <v>114</v>
      </c>
    </row>
    <row r="73" spans="1:4" x14ac:dyDescent="0.45">
      <c r="A73" t="s">
        <v>115</v>
      </c>
      <c r="B73" t="s">
        <v>116</v>
      </c>
      <c r="C73" t="s">
        <v>126</v>
      </c>
      <c r="D73" t="s">
        <v>124</v>
      </c>
    </row>
    <row r="74" spans="1:4" x14ac:dyDescent="0.45">
      <c r="A74" t="s">
        <v>118</v>
      </c>
      <c r="B74" t="s">
        <v>119</v>
      </c>
      <c r="C74" t="s">
        <v>125</v>
      </c>
      <c r="D74" t="s">
        <v>124</v>
      </c>
    </row>
    <row r="75" spans="1:4" x14ac:dyDescent="0.45">
      <c r="A75" t="s">
        <v>120</v>
      </c>
      <c r="B75" t="s">
        <v>116</v>
      </c>
      <c r="C75" t="s">
        <v>127</v>
      </c>
    </row>
    <row r="76" spans="1:4" x14ac:dyDescent="0.45">
      <c r="A76" t="s">
        <v>120</v>
      </c>
      <c r="B76" t="s">
        <v>121</v>
      </c>
      <c r="C76" t="s">
        <v>127</v>
      </c>
    </row>
    <row r="77" spans="1:4" x14ac:dyDescent="0.45">
      <c r="A77" t="s">
        <v>122</v>
      </c>
      <c r="B77" t="s">
        <v>113</v>
      </c>
      <c r="C77" t="s">
        <v>123</v>
      </c>
      <c r="D77" t="s">
        <v>124</v>
      </c>
    </row>
    <row r="78" spans="1:4" x14ac:dyDescent="0.45">
      <c r="A78" t="s">
        <v>115</v>
      </c>
      <c r="B78" t="s">
        <v>128</v>
      </c>
      <c r="C78" t="s">
        <v>131</v>
      </c>
      <c r="D78" t="s">
        <v>130</v>
      </c>
    </row>
    <row r="79" spans="1:4" x14ac:dyDescent="0.45">
      <c r="A79" t="s">
        <v>115</v>
      </c>
      <c r="B79" t="s">
        <v>129</v>
      </c>
      <c r="C79" t="s">
        <v>117</v>
      </c>
      <c r="D79" t="s">
        <v>130</v>
      </c>
    </row>
    <row r="80" spans="1:4" x14ac:dyDescent="0.45">
      <c r="A80" t="s">
        <v>115</v>
      </c>
      <c r="B80" t="s">
        <v>132</v>
      </c>
      <c r="C80" t="s">
        <v>129</v>
      </c>
    </row>
    <row r="81" spans="1:4" x14ac:dyDescent="0.45">
      <c r="A81" t="s">
        <v>115</v>
      </c>
      <c r="B81" t="s">
        <v>133</v>
      </c>
      <c r="C81" t="s">
        <v>128</v>
      </c>
    </row>
    <row r="82" spans="1:4" x14ac:dyDescent="0.45">
      <c r="A82" t="s">
        <v>134</v>
      </c>
      <c r="B82" t="s">
        <v>136</v>
      </c>
      <c r="C82" t="s">
        <v>137</v>
      </c>
      <c r="D82" t="s">
        <v>138</v>
      </c>
    </row>
    <row r="83" spans="1:4" x14ac:dyDescent="0.45">
      <c r="A83" t="s">
        <v>141</v>
      </c>
      <c r="B83" t="s">
        <v>135</v>
      </c>
      <c r="C83" t="s">
        <v>139</v>
      </c>
      <c r="D83" t="s">
        <v>138</v>
      </c>
    </row>
    <row r="84" spans="1:4" x14ac:dyDescent="0.45">
      <c r="A84" t="s">
        <v>134</v>
      </c>
      <c r="B84" t="s">
        <v>140</v>
      </c>
      <c r="C84" t="s">
        <v>136</v>
      </c>
    </row>
    <row r="85" spans="1:4" x14ac:dyDescent="0.45">
      <c r="A85" t="s">
        <v>141</v>
      </c>
      <c r="B85" t="s">
        <v>140</v>
      </c>
      <c r="C85" t="s">
        <v>135</v>
      </c>
    </row>
    <row r="86" spans="1:4" x14ac:dyDescent="0.45">
      <c r="A86" t="s">
        <v>134</v>
      </c>
      <c r="B86" t="s">
        <v>142</v>
      </c>
      <c r="C86" t="s">
        <v>136</v>
      </c>
    </row>
    <row r="87" spans="1:4" x14ac:dyDescent="0.45">
      <c r="A87" t="s">
        <v>141</v>
      </c>
      <c r="B87" t="s">
        <v>143</v>
      </c>
      <c r="C87" t="s">
        <v>135</v>
      </c>
    </row>
    <row r="88" spans="1:4" x14ac:dyDescent="0.45">
      <c r="A88" t="s">
        <v>144</v>
      </c>
      <c r="B88" t="s">
        <v>145</v>
      </c>
      <c r="C88" t="s">
        <v>147</v>
      </c>
      <c r="D88" t="s">
        <v>138</v>
      </c>
    </row>
    <row r="89" spans="1:4" x14ac:dyDescent="0.45">
      <c r="A89" t="s">
        <v>144</v>
      </c>
      <c r="B89" t="s">
        <v>146</v>
      </c>
      <c r="C89" t="s">
        <v>148</v>
      </c>
      <c r="D89" t="s">
        <v>138</v>
      </c>
    </row>
    <row r="90" spans="1:4" x14ac:dyDescent="0.45">
      <c r="A90" t="s">
        <v>144</v>
      </c>
      <c r="B90" t="s">
        <v>149</v>
      </c>
      <c r="C90" t="s">
        <v>145</v>
      </c>
    </row>
    <row r="91" spans="1:4" x14ac:dyDescent="0.45">
      <c r="A91" t="s">
        <v>144</v>
      </c>
      <c r="B91" t="s">
        <v>150</v>
      </c>
      <c r="C91" t="s">
        <v>146</v>
      </c>
    </row>
    <row r="92" spans="1:4" x14ac:dyDescent="0.45">
      <c r="A92" t="s">
        <v>151</v>
      </c>
      <c r="B92" t="s">
        <v>145</v>
      </c>
      <c r="C92" t="s">
        <v>152</v>
      </c>
      <c r="D92" t="s">
        <v>138</v>
      </c>
    </row>
    <row r="93" spans="1:4" x14ac:dyDescent="0.45">
      <c r="A93" t="s">
        <v>151</v>
      </c>
      <c r="B93" t="s">
        <v>143</v>
      </c>
      <c r="C93" t="s">
        <v>145</v>
      </c>
    </row>
    <row r="94" spans="1:4" x14ac:dyDescent="0.45">
      <c r="A94" t="s">
        <v>151</v>
      </c>
      <c r="B94" t="s">
        <v>140</v>
      </c>
      <c r="C94" t="s">
        <v>145</v>
      </c>
    </row>
    <row r="95" spans="1:4" x14ac:dyDescent="0.45">
      <c r="A95" t="s">
        <v>153</v>
      </c>
      <c r="B95" t="s">
        <v>146</v>
      </c>
      <c r="C95" t="s">
        <v>154</v>
      </c>
      <c r="D95" t="s">
        <v>138</v>
      </c>
    </row>
    <row r="96" spans="1:4" x14ac:dyDescent="0.45">
      <c r="A96" t="s">
        <v>153</v>
      </c>
      <c r="B96" t="s">
        <v>143</v>
      </c>
      <c r="C96" t="s">
        <v>146</v>
      </c>
    </row>
    <row r="97" spans="1:3" x14ac:dyDescent="0.45">
      <c r="A97" t="s">
        <v>153</v>
      </c>
      <c r="B97" t="s">
        <v>155</v>
      </c>
      <c r="C97" t="s">
        <v>146</v>
      </c>
    </row>
  </sheetData>
  <autoFilter ref="A1:D16" xr:uid="{087A4FED-FDB1-4631-A36C-A9E535A17C91}">
    <sortState xmlns:xlrd2="http://schemas.microsoft.com/office/spreadsheetml/2017/richdata2" ref="A2:D70">
      <sortCondition ref="A1:A16"/>
    </sortState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7487-74C5-4EB6-801C-7406DAC13DF1}">
  <dimension ref="A1:E34"/>
  <sheetViews>
    <sheetView tabSelected="1" workbookViewId="0">
      <selection activeCell="D8" sqref="D8"/>
    </sheetView>
  </sheetViews>
  <sheetFormatPr defaultRowHeight="18" x14ac:dyDescent="0.45"/>
  <cols>
    <col min="1" max="1" width="23.796875" customWidth="1"/>
    <col min="2" max="2" width="13.69921875" customWidth="1"/>
    <col min="3" max="3" width="12.09765625" customWidth="1"/>
    <col min="4" max="4" width="22.59765625" customWidth="1"/>
  </cols>
  <sheetData>
    <row r="1" spans="1:5" x14ac:dyDescent="0.45">
      <c r="A1" s="2" t="s">
        <v>53</v>
      </c>
      <c r="B1" s="6" t="s">
        <v>44</v>
      </c>
      <c r="C1" s="7" t="s">
        <v>48</v>
      </c>
      <c r="D1" s="2" t="s">
        <v>54</v>
      </c>
      <c r="E1" s="6" t="s">
        <v>55</v>
      </c>
    </row>
    <row r="2" spans="1:5" x14ac:dyDescent="0.45">
      <c r="A2" s="3">
        <v>18</v>
      </c>
      <c r="B2" s="4">
        <v>6</v>
      </c>
      <c r="C2" s="5">
        <v>1</v>
      </c>
      <c r="D2" s="3">
        <v>1</v>
      </c>
      <c r="E2" s="4">
        <v>100</v>
      </c>
    </row>
    <row r="3" spans="1:5" x14ac:dyDescent="0.45">
      <c r="A3" s="1" t="s">
        <v>111</v>
      </c>
      <c r="C3">
        <v>0</v>
      </c>
    </row>
    <row r="4" spans="1:5" x14ac:dyDescent="0.45">
      <c r="A4" t="str">
        <f>"int vlan "&amp;B2</f>
        <v>int vlan 6</v>
      </c>
      <c r="C4" t="s">
        <v>156</v>
      </c>
    </row>
    <row r="5" spans="1:5" x14ac:dyDescent="0.45">
      <c r="A5" t="str">
        <f>"ip addr 172."&amp;A2&amp;"."&amp;B2&amp;".1 255.255.254.0"</f>
        <v>ip addr 172.18.6.1 255.255.254.0</v>
      </c>
    </row>
    <row r="6" spans="1:5" x14ac:dyDescent="0.45">
      <c r="A6" t="s">
        <v>46</v>
      </c>
    </row>
    <row r="7" spans="1:5" x14ac:dyDescent="0.45">
      <c r="A7" t="s">
        <v>45</v>
      </c>
    </row>
    <row r="8" spans="1:5" x14ac:dyDescent="0.45">
      <c r="A8" t="str">
        <f>"int fast 0/"&amp;C3&amp;"/"&amp;C2</f>
        <v>int fast 0/0/1</v>
      </c>
    </row>
    <row r="9" spans="1:5" x14ac:dyDescent="0.45">
      <c r="A9" t="str">
        <f>"switchport access vlan "&amp;B2</f>
        <v>switchport access vlan 6</v>
      </c>
    </row>
    <row r="10" spans="1:5" x14ac:dyDescent="0.45">
      <c r="A10" t="s">
        <v>46</v>
      </c>
    </row>
    <row r="11" spans="1:5" x14ac:dyDescent="0.45">
      <c r="A11" t="s">
        <v>45</v>
      </c>
    </row>
    <row r="12" spans="1:5" x14ac:dyDescent="0.45">
      <c r="A12" t="str">
        <f>"ip dhcp excluded-address 172."&amp;A2&amp;"."&amp;B2&amp;".1 172."&amp;A2&amp;"."&amp;B2&amp;".100"</f>
        <v>ip dhcp excluded-address 172.18.6.1 172.18.6.100</v>
      </c>
    </row>
    <row r="13" spans="1:5" x14ac:dyDescent="0.45">
      <c r="A13" t="str">
        <f>"ip dhcp pool VLAN"&amp;B2</f>
        <v>ip dhcp pool VLAN6</v>
      </c>
    </row>
    <row r="14" spans="1:5" x14ac:dyDescent="0.45">
      <c r="A14" t="str">
        <f>"network 172."&amp;A2&amp;"."&amp;B2&amp;".0 255.255.254.0"</f>
        <v>network 172.18.6.0 255.255.254.0</v>
      </c>
    </row>
    <row r="15" spans="1:5" x14ac:dyDescent="0.45">
      <c r="A15" t="str">
        <f>"default-router 172."&amp;A2&amp;"."&amp;B2&amp;".1"</f>
        <v>default-router 172.18.6.1</v>
      </c>
    </row>
    <row r="16" spans="1:5" x14ac:dyDescent="0.45">
      <c r="A16" t="s">
        <v>49</v>
      </c>
    </row>
    <row r="17" spans="1:1" x14ac:dyDescent="0.45">
      <c r="A17" t="s">
        <v>50</v>
      </c>
    </row>
    <row r="18" spans="1:1" x14ac:dyDescent="0.45">
      <c r="A18" s="1" t="s">
        <v>47</v>
      </c>
    </row>
    <row r="19" spans="1:1" x14ac:dyDescent="0.45">
      <c r="A19" t="str">
        <f>"int vlan "&amp;B2</f>
        <v>int vlan 6</v>
      </c>
    </row>
    <row r="20" spans="1:1" x14ac:dyDescent="0.45">
      <c r="A20" t="str">
        <f>"name VLAN"&amp;B2</f>
        <v>name VLAN6</v>
      </c>
    </row>
    <row r="21" spans="1:1" x14ac:dyDescent="0.45">
      <c r="A21" t="s">
        <v>45</v>
      </c>
    </row>
    <row r="22" spans="1:1" x14ac:dyDescent="0.45">
      <c r="A22" t="str">
        <f>"int vlan "&amp;B2</f>
        <v>int vlan 6</v>
      </c>
    </row>
    <row r="23" spans="1:1" x14ac:dyDescent="0.45">
      <c r="A23" t="str">
        <f>"ip addr 172."&amp;A2&amp;"."&amp;B2&amp;".2 255.255.254.0"</f>
        <v>ip addr 172.18.6.2 255.255.254.0</v>
      </c>
    </row>
    <row r="24" spans="1:1" x14ac:dyDescent="0.45">
      <c r="A24" t="s">
        <v>46</v>
      </c>
    </row>
    <row r="25" spans="1:1" x14ac:dyDescent="0.45">
      <c r="A25" t="s">
        <v>45</v>
      </c>
    </row>
    <row r="26" spans="1:1" x14ac:dyDescent="0.45">
      <c r="A26" t="s">
        <v>51</v>
      </c>
    </row>
    <row r="27" spans="1:1" x14ac:dyDescent="0.45">
      <c r="A27" t="str">
        <f>"switchport access vlan "&amp;B2</f>
        <v>switchport access vlan 6</v>
      </c>
    </row>
    <row r="28" spans="1:1" x14ac:dyDescent="0.45">
      <c r="A28" t="s">
        <v>46</v>
      </c>
    </row>
    <row r="29" spans="1:1" x14ac:dyDescent="0.45">
      <c r="A29" t="s">
        <v>45</v>
      </c>
    </row>
    <row r="30" spans="1:1" x14ac:dyDescent="0.45">
      <c r="A30" t="s">
        <v>52</v>
      </c>
    </row>
    <row r="31" spans="1:1" x14ac:dyDescent="0.45">
      <c r="A31" t="str">
        <f>"switchport access vlan "&amp;B2</f>
        <v>switchport access vlan 6</v>
      </c>
    </row>
    <row r="32" spans="1:1" x14ac:dyDescent="0.45">
      <c r="A32" t="s">
        <v>46</v>
      </c>
    </row>
    <row r="33" spans="1:1" x14ac:dyDescent="0.45">
      <c r="A33" t="s">
        <v>49</v>
      </c>
    </row>
    <row r="34" spans="1:1" x14ac:dyDescent="0.45">
      <c r="A34" t="s">
        <v>50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IPアドレス帳</vt:lpstr>
      <vt:lpstr>設定用テンプレート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暖大 藤谷</dc:creator>
  <cp:lastModifiedBy>暖大 藤谷</cp:lastModifiedBy>
  <dcterms:created xsi:type="dcterms:W3CDTF">2026-06-04T02:30:30Z</dcterms:created>
  <dcterms:modified xsi:type="dcterms:W3CDTF">2026-06-17T08:46:32Z</dcterms:modified>
</cp:coreProperties>
</file>